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maj - copia\"/>
    </mc:Choice>
  </mc:AlternateContent>
  <xr:revisionPtr revIDLastSave="0" documentId="13_ncr:1_{E4342FAD-1611-4467-89D6-888912E02435}" xr6:coauthVersionLast="47" xr6:coauthVersionMax="47" xr10:uidLastSave="{00000000-0000-0000-0000-000000000000}"/>
  <bookViews>
    <workbookView xWindow="-108" yWindow="-108" windowWidth="23256" windowHeight="13176" xr2:uid="{D09CEA60-5B29-43C2-8166-B4B56BC6F1FE}"/>
  </bookViews>
  <sheets>
    <sheet name="Hoja1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2" l="1"/>
  <c r="Q4" i="2"/>
  <c r="T4" i="2" s="1"/>
  <c r="U3" i="2"/>
  <c r="Q3" i="2"/>
  <c r="T3" i="2" s="1"/>
  <c r="N10" i="2"/>
  <c r="N9" i="2"/>
  <c r="J10" i="2"/>
  <c r="J9" i="2"/>
  <c r="N3" i="2"/>
  <c r="E5" i="2" s="1"/>
  <c r="N5" i="2" s="1"/>
  <c r="E7" i="2" s="1"/>
  <c r="N4" i="2"/>
  <c r="E6" i="2" s="1"/>
  <c r="N6" i="2" s="1"/>
  <c r="E8" i="2" s="1"/>
  <c r="N8" i="2" s="1"/>
  <c r="G3" i="2"/>
  <c r="M9" i="2" s="1"/>
  <c r="J4" i="2"/>
  <c r="G4" i="2"/>
  <c r="M10" i="2" s="1"/>
  <c r="J3" i="2"/>
  <c r="M5" i="1"/>
  <c r="M4" i="1"/>
  <c r="M3" i="1"/>
  <c r="G8" i="1"/>
  <c r="L8" i="1"/>
  <c r="J8" i="1"/>
  <c r="J7" i="1"/>
  <c r="G7" i="1"/>
  <c r="I4" i="1"/>
  <c r="G4" i="1"/>
  <c r="J3" i="1"/>
  <c r="G3" i="1"/>
  <c r="L3" i="1" s="1"/>
  <c r="N7" i="2" l="1"/>
  <c r="M4" i="2"/>
  <c r="F6" i="2" s="1"/>
  <c r="M3" i="2"/>
  <c r="F5" i="2" s="1"/>
  <c r="I5" i="2" s="1"/>
  <c r="M5" i="2" l="1"/>
  <c r="F7" i="2" s="1"/>
  <c r="I7" i="2" s="1"/>
  <c r="L5" i="2"/>
  <c r="I6" i="2"/>
  <c r="G5" i="2"/>
  <c r="G6" i="2"/>
  <c r="G7" i="2" l="1"/>
  <c r="M6" i="2"/>
  <c r="F8" i="2" s="1"/>
  <c r="I8" i="2" s="1"/>
  <c r="L6" i="2"/>
  <c r="M7" i="2"/>
  <c r="L7" i="2"/>
  <c r="G8" i="2" l="1"/>
  <c r="M8" i="2"/>
  <c r="L8" i="2"/>
</calcChain>
</file>

<file path=xl/sharedStrings.xml><?xml version="1.0" encoding="utf-8"?>
<sst xmlns="http://schemas.openxmlformats.org/spreadsheetml/2006/main" count="83" uniqueCount="35">
  <si>
    <t>Producto</t>
  </si>
  <si>
    <t>Stock Actual</t>
  </si>
  <si>
    <t>Costo Unitario</t>
  </si>
  <si>
    <t>Valorizado</t>
  </si>
  <si>
    <t>Cantidad</t>
  </si>
  <si>
    <t>Nuevo Precio</t>
  </si>
  <si>
    <t>Operación</t>
  </si>
  <si>
    <t>COMPRA</t>
  </si>
  <si>
    <t>VENTA</t>
  </si>
  <si>
    <t>PREPARADA</t>
  </si>
  <si>
    <t>ANULACION COMPRA</t>
  </si>
  <si>
    <t>MAIZ</t>
  </si>
  <si>
    <t>Fecha</t>
  </si>
  <si>
    <t>MOVIMIENTOS</t>
  </si>
  <si>
    <t>TIPO</t>
  </si>
  <si>
    <t>ENTRADA</t>
  </si>
  <si>
    <t>SALIDA</t>
  </si>
  <si>
    <t>COSTO ACTUAL</t>
  </si>
  <si>
    <t>NUEVO COSTO</t>
  </si>
  <si>
    <t>ALMACEN</t>
  </si>
  <si>
    <t>OPERACIÓN</t>
  </si>
  <si>
    <t>ID</t>
  </si>
  <si>
    <t>ID_TRA</t>
  </si>
  <si>
    <t>RENTAB.</t>
  </si>
  <si>
    <t>PUV-53.3333</t>
  </si>
  <si>
    <t>COMPRA (RR 100)</t>
  </si>
  <si>
    <t>Stock</t>
  </si>
  <si>
    <t>POLVILLO</t>
  </si>
  <si>
    <t>Precio actual</t>
  </si>
  <si>
    <t>COMPRA 3546</t>
  </si>
  <si>
    <t>ANULACION COMPRA 3546</t>
  </si>
  <si>
    <t>Costo Venta</t>
  </si>
  <si>
    <t>VENTA 101</t>
  </si>
  <si>
    <t>VENTA 102</t>
  </si>
  <si>
    <t>RECTIFICACIÓN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</si>
</sst>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70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4" fontId="0" fillId="0" borderId="1" xfId="0" applyNumberFormat="1" applyBorder="1"/>
    <xf numFmtId="14" fontId="0" fillId="0" borderId="1" xfId="0" applyNumberFormat="1" applyBorder="1"/>
    <xf numFmtId="0" fontId="0" fillId="4" borderId="1" xfId="0" applyFill="1" applyBorder="1"/>
    <xf numFmtId="0" fontId="0" fillId="0" borderId="2" xfId="0" applyFill="1" applyBorder="1"/>
    <xf numFmtId="0" fontId="1" fillId="0" borderId="1" xfId="0" applyFont="1" applyBorder="1" applyAlignment="1">
      <alignment horizontal="center"/>
    </xf>
    <xf numFmtId="4" fontId="0" fillId="0" borderId="0" xfId="0" applyNumberFormat="1"/>
    <xf numFmtId="0" fontId="0" fillId="5" borderId="1" xfId="0" applyFill="1" applyBorder="1"/>
    <xf numFmtId="167" fontId="0" fillId="0" borderId="1" xfId="0" applyNumberFormat="1" applyBorder="1"/>
    <xf numFmtId="170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28B2-4AFF-4F06-8274-AF50B13BA5D9}">
  <dimension ref="A1:U10"/>
  <sheetViews>
    <sheetView tabSelected="1" zoomScale="90" zoomScaleNormal="90" workbookViewId="0">
      <selection activeCell="S24" sqref="S24"/>
    </sheetView>
  </sheetViews>
  <sheetFormatPr baseColWidth="10" defaultRowHeight="14.4" x14ac:dyDescent="0.3"/>
  <cols>
    <col min="2" max="2" width="25" customWidth="1"/>
    <col min="3" max="3" width="13.5546875" customWidth="1"/>
    <col min="5" max="5" width="13.33203125" customWidth="1"/>
    <col min="6" max="6" width="17.88671875" customWidth="1"/>
    <col min="7" max="7" width="12.21875" customWidth="1"/>
    <col min="8" max="8" width="10.21875" customWidth="1"/>
    <col min="9" max="9" width="13.88671875" customWidth="1"/>
    <col min="10" max="11" width="10" customWidth="1"/>
    <col min="12" max="12" width="13.21875" customWidth="1"/>
    <col min="13" max="13" width="15.33203125" customWidth="1"/>
  </cols>
  <sheetData>
    <row r="1" spans="1:21" x14ac:dyDescent="0.3">
      <c r="D1" s="9" t="s">
        <v>19</v>
      </c>
      <c r="E1" s="9"/>
      <c r="F1" s="9"/>
      <c r="G1" s="9"/>
      <c r="H1" s="9" t="s">
        <v>20</v>
      </c>
      <c r="I1" s="9"/>
      <c r="J1" s="9"/>
      <c r="K1" s="9"/>
      <c r="L1" s="9"/>
      <c r="M1" s="9"/>
      <c r="N1" s="9"/>
      <c r="O1" s="9" t="s">
        <v>34</v>
      </c>
      <c r="P1" s="9"/>
      <c r="Q1" s="9"/>
      <c r="R1" s="9"/>
      <c r="S1" s="9"/>
      <c r="T1" s="9"/>
      <c r="U1" s="9"/>
    </row>
    <row r="2" spans="1:21" x14ac:dyDescent="0.3">
      <c r="A2" s="7" t="s">
        <v>21</v>
      </c>
      <c r="B2" s="7" t="s">
        <v>6</v>
      </c>
      <c r="C2" s="7" t="s">
        <v>12</v>
      </c>
      <c r="D2" s="4" t="s">
        <v>0</v>
      </c>
      <c r="E2" s="4" t="s">
        <v>1</v>
      </c>
      <c r="F2" s="4" t="s">
        <v>2</v>
      </c>
      <c r="G2" s="4" t="s">
        <v>3</v>
      </c>
      <c r="H2" s="2" t="s">
        <v>4</v>
      </c>
      <c r="I2" s="2" t="s">
        <v>2</v>
      </c>
      <c r="J2" s="2" t="s">
        <v>3</v>
      </c>
      <c r="K2" s="2" t="s">
        <v>31</v>
      </c>
      <c r="L2" s="2" t="s">
        <v>23</v>
      </c>
      <c r="M2" s="2" t="s">
        <v>28</v>
      </c>
      <c r="N2" s="2" t="s">
        <v>26</v>
      </c>
      <c r="O2" s="2" t="s">
        <v>4</v>
      </c>
      <c r="P2" s="2" t="s">
        <v>2</v>
      </c>
      <c r="Q2" s="2" t="s">
        <v>3</v>
      </c>
      <c r="R2" s="2" t="s">
        <v>31</v>
      </c>
      <c r="S2" s="2" t="s">
        <v>23</v>
      </c>
      <c r="T2" s="2" t="s">
        <v>28</v>
      </c>
      <c r="U2" s="2" t="s">
        <v>26</v>
      </c>
    </row>
    <row r="3" spans="1:21" x14ac:dyDescent="0.3">
      <c r="A3" s="11">
        <v>100</v>
      </c>
      <c r="B3" s="3" t="s">
        <v>29</v>
      </c>
      <c r="C3" s="6">
        <v>46090</v>
      </c>
      <c r="D3" s="3" t="s">
        <v>11</v>
      </c>
      <c r="E3" s="13">
        <v>144.1</v>
      </c>
      <c r="F3" s="12">
        <v>73.551199999999994</v>
      </c>
      <c r="G3" s="12">
        <f>E3*F3</f>
        <v>10598.727919999999</v>
      </c>
      <c r="H3" s="3">
        <v>70</v>
      </c>
      <c r="I3" s="3">
        <v>66</v>
      </c>
      <c r="J3" s="3">
        <f>H3*I3</f>
        <v>4620</v>
      </c>
      <c r="K3" s="3"/>
      <c r="L3" s="3"/>
      <c r="M3" s="12">
        <f>(G3+J3)/(E3+H3)</f>
        <v>71.082334983652501</v>
      </c>
      <c r="N3" s="13">
        <f>E3+H3</f>
        <v>214.1</v>
      </c>
      <c r="O3" s="3">
        <v>70</v>
      </c>
      <c r="P3" s="3">
        <v>66</v>
      </c>
      <c r="Q3" s="3">
        <f>O3*P3</f>
        <v>4620</v>
      </c>
      <c r="R3" s="3"/>
      <c r="S3" s="3"/>
      <c r="T3" s="12">
        <f>(N3+Q3)/(L3+O3)</f>
        <v>69.05857142857144</v>
      </c>
      <c r="U3" s="13">
        <f>L3+O3</f>
        <v>70</v>
      </c>
    </row>
    <row r="4" spans="1:21" x14ac:dyDescent="0.3">
      <c r="A4" s="11"/>
      <c r="B4" s="3"/>
      <c r="C4" s="6"/>
      <c r="D4" s="3" t="s">
        <v>27</v>
      </c>
      <c r="E4" s="13">
        <v>237.3665</v>
      </c>
      <c r="F4" s="12">
        <v>25.797999999999998</v>
      </c>
      <c r="G4" s="12">
        <f>E4*F4</f>
        <v>6123.5809669999999</v>
      </c>
      <c r="H4" s="3">
        <v>40</v>
      </c>
      <c r="I4" s="3">
        <v>36</v>
      </c>
      <c r="J4" s="3">
        <f>H4*I4</f>
        <v>1440</v>
      </c>
      <c r="K4" s="3"/>
      <c r="L4" s="3"/>
      <c r="M4" s="12">
        <f>(G4+J4)/(E4+H4)</f>
        <v>27.269266356968128</v>
      </c>
      <c r="N4" s="13">
        <f>E4+H4</f>
        <v>277.36649999999997</v>
      </c>
      <c r="O4" s="3">
        <v>40</v>
      </c>
      <c r="P4" s="3">
        <v>36</v>
      </c>
      <c r="Q4" s="3">
        <f>O4*P4</f>
        <v>1440</v>
      </c>
      <c r="R4" s="3"/>
      <c r="S4" s="3"/>
      <c r="T4" s="12">
        <f>(N4+Q4)/(L4+O4)</f>
        <v>42.934162499999999</v>
      </c>
      <c r="U4" s="13">
        <f>L4+O4</f>
        <v>40</v>
      </c>
    </row>
    <row r="5" spans="1:21" x14ac:dyDescent="0.3">
      <c r="A5" s="11">
        <v>50</v>
      </c>
      <c r="B5" s="3" t="s">
        <v>32</v>
      </c>
      <c r="C5" s="6">
        <v>46090</v>
      </c>
      <c r="D5" s="3" t="s">
        <v>11</v>
      </c>
      <c r="E5" s="13">
        <f>N3</f>
        <v>214.1</v>
      </c>
      <c r="F5" s="12">
        <f>M3</f>
        <v>71.082334983652501</v>
      </c>
      <c r="G5" s="12">
        <f>E5*F5</f>
        <v>15218.727919999999</v>
      </c>
      <c r="H5" s="3">
        <v>5</v>
      </c>
      <c r="I5" s="12">
        <f>F5</f>
        <v>71.082334983652501</v>
      </c>
      <c r="J5" s="3"/>
      <c r="K5" s="3">
        <v>78</v>
      </c>
      <c r="L5" s="12">
        <f>K5-I5</f>
        <v>6.9176650163474989</v>
      </c>
      <c r="M5" s="12">
        <f>I5</f>
        <v>71.082334983652501</v>
      </c>
      <c r="N5" s="13">
        <f>E5-H5</f>
        <v>209.1</v>
      </c>
    </row>
    <row r="6" spans="1:21" x14ac:dyDescent="0.3">
      <c r="A6" s="11"/>
      <c r="B6" s="3"/>
      <c r="C6" s="6"/>
      <c r="D6" s="3" t="s">
        <v>27</v>
      </c>
      <c r="E6" s="13">
        <f>N4</f>
        <v>277.36649999999997</v>
      </c>
      <c r="F6" s="12">
        <f>M4</f>
        <v>27.269266356968128</v>
      </c>
      <c r="G6" s="12">
        <f>E6*F6</f>
        <v>7563.5809669999999</v>
      </c>
      <c r="H6" s="3">
        <v>4</v>
      </c>
      <c r="I6" s="12">
        <f t="shared" ref="I6:I8" si="0">F6</f>
        <v>27.269266356968128</v>
      </c>
      <c r="J6" s="3"/>
      <c r="K6" s="3">
        <v>38</v>
      </c>
      <c r="L6" s="12">
        <f t="shared" ref="L6:L8" si="1">K6-I6</f>
        <v>10.730733643031872</v>
      </c>
      <c r="M6" s="12">
        <f t="shared" ref="M6:M8" si="2">I6</f>
        <v>27.269266356968128</v>
      </c>
      <c r="N6" s="13">
        <f t="shared" ref="N6:N8" si="3">E6-H6</f>
        <v>273.36649999999997</v>
      </c>
    </row>
    <row r="7" spans="1:21" x14ac:dyDescent="0.3">
      <c r="A7" s="11">
        <v>51</v>
      </c>
      <c r="B7" s="3" t="s">
        <v>33</v>
      </c>
      <c r="C7" s="6">
        <v>46091</v>
      </c>
      <c r="D7" s="3" t="s">
        <v>11</v>
      </c>
      <c r="E7" s="13">
        <f>N5</f>
        <v>209.1</v>
      </c>
      <c r="F7" s="12">
        <f>M5</f>
        <v>71.082334983652501</v>
      </c>
      <c r="G7" s="12">
        <f t="shared" ref="G7:G8" si="4">E7*F7</f>
        <v>14863.316245081738</v>
      </c>
      <c r="H7" s="3">
        <v>10</v>
      </c>
      <c r="I7" s="12">
        <f t="shared" si="0"/>
        <v>71.082334983652501</v>
      </c>
      <c r="J7" s="3"/>
      <c r="K7" s="3">
        <v>78</v>
      </c>
      <c r="L7" s="12">
        <f t="shared" si="1"/>
        <v>6.9176650163474989</v>
      </c>
      <c r="M7" s="12">
        <f t="shared" si="2"/>
        <v>71.082334983652501</v>
      </c>
      <c r="N7" s="13">
        <f t="shared" si="3"/>
        <v>199.1</v>
      </c>
    </row>
    <row r="8" spans="1:21" x14ac:dyDescent="0.3">
      <c r="A8" s="11"/>
      <c r="B8" s="3"/>
      <c r="C8" s="6">
        <v>46091</v>
      </c>
      <c r="D8" s="3" t="s">
        <v>27</v>
      </c>
      <c r="E8" s="13">
        <f>N6</f>
        <v>273.36649999999997</v>
      </c>
      <c r="F8" s="12">
        <f>M6</f>
        <v>27.269266356968128</v>
      </c>
      <c r="G8" s="12">
        <f t="shared" si="4"/>
        <v>7454.5039015721268</v>
      </c>
      <c r="H8" s="3">
        <v>5</v>
      </c>
      <c r="I8" s="12">
        <f t="shared" si="0"/>
        <v>27.269266356968128</v>
      </c>
      <c r="J8" s="3"/>
      <c r="K8" s="3">
        <v>38</v>
      </c>
      <c r="L8" s="12">
        <f t="shared" si="1"/>
        <v>10.730733643031872</v>
      </c>
      <c r="M8" s="12">
        <f t="shared" si="2"/>
        <v>27.269266356968128</v>
      </c>
      <c r="N8" s="13">
        <f t="shared" si="3"/>
        <v>268.36649999999997</v>
      </c>
    </row>
    <row r="9" spans="1:21" x14ac:dyDescent="0.3">
      <c r="A9" s="11">
        <v>100</v>
      </c>
      <c r="B9" s="3" t="s">
        <v>30</v>
      </c>
      <c r="C9" s="6">
        <v>46091</v>
      </c>
      <c r="D9" s="3" t="s">
        <v>11</v>
      </c>
      <c r="E9" s="13"/>
      <c r="F9" s="12"/>
      <c r="G9" s="12"/>
      <c r="H9" s="3">
        <v>70</v>
      </c>
      <c r="I9" s="3">
        <v>66</v>
      </c>
      <c r="J9" s="3">
        <f>H9*I9</f>
        <v>4620</v>
      </c>
      <c r="K9" s="3"/>
      <c r="L9" s="3"/>
      <c r="M9" s="12">
        <f>(G3+J9)/(E3+H9)</f>
        <v>71.082334983652501</v>
      </c>
      <c r="N9" s="13">
        <f>E3+H3</f>
        <v>214.1</v>
      </c>
    </row>
    <row r="10" spans="1:21" x14ac:dyDescent="0.3">
      <c r="D10" s="14" t="s">
        <v>27</v>
      </c>
      <c r="E10" s="3"/>
      <c r="F10" s="3"/>
      <c r="G10" s="3"/>
      <c r="H10" s="3">
        <v>40</v>
      </c>
      <c r="I10" s="3">
        <v>36</v>
      </c>
      <c r="J10" s="3">
        <f>H10*I10</f>
        <v>1440</v>
      </c>
      <c r="K10" s="3"/>
      <c r="L10" s="3"/>
      <c r="M10" s="12">
        <f>(G4+J10)/(E4+H10)</f>
        <v>27.269266356968128</v>
      </c>
      <c r="N10" s="13">
        <f>E4+H4</f>
        <v>277.36649999999997</v>
      </c>
    </row>
  </sheetData>
  <mergeCells count="3">
    <mergeCell ref="D1:G1"/>
    <mergeCell ref="H1:N1"/>
    <mergeCell ref="O1:U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5FB4-D88F-4566-9949-8F0F3E215213}">
  <dimension ref="A1:T8"/>
  <sheetViews>
    <sheetView zoomScale="90" zoomScaleNormal="90" workbookViewId="0">
      <selection activeCell="B6" sqref="B6"/>
    </sheetView>
  </sheetViews>
  <sheetFormatPr baseColWidth="10" defaultRowHeight="14.4" x14ac:dyDescent="0.3"/>
  <cols>
    <col min="2" max="2" width="20.21875" customWidth="1"/>
    <col min="3" max="3" width="13.5546875" customWidth="1"/>
    <col min="5" max="5" width="13.33203125" customWidth="1"/>
    <col min="6" max="6" width="17.88671875" customWidth="1"/>
    <col min="7" max="7" width="12.21875" customWidth="1"/>
    <col min="8" max="8" width="10.21875" customWidth="1"/>
    <col min="9" max="9" width="13.88671875" customWidth="1"/>
    <col min="10" max="10" width="10" customWidth="1"/>
    <col min="11" max="11" width="13.21875" customWidth="1"/>
    <col min="15" max="15" width="20.109375" customWidth="1"/>
    <col min="16" max="16" width="8.44140625" customWidth="1"/>
    <col min="19" max="19" width="15.33203125" customWidth="1"/>
  </cols>
  <sheetData>
    <row r="1" spans="1:20" x14ac:dyDescent="0.3">
      <c r="D1" s="9" t="s">
        <v>19</v>
      </c>
      <c r="E1" s="9"/>
      <c r="F1" s="9"/>
      <c r="G1" s="9"/>
      <c r="H1" s="9" t="s">
        <v>20</v>
      </c>
      <c r="I1" s="9"/>
      <c r="J1" s="9"/>
      <c r="K1" s="9"/>
      <c r="L1" s="9"/>
      <c r="N1" s="9" t="s">
        <v>13</v>
      </c>
      <c r="O1" s="9"/>
      <c r="P1" s="9"/>
      <c r="Q1" s="9"/>
      <c r="R1" s="9"/>
      <c r="S1" s="9"/>
      <c r="T1" s="9"/>
    </row>
    <row r="2" spans="1:20" x14ac:dyDescent="0.3">
      <c r="A2" t="s">
        <v>21</v>
      </c>
      <c r="B2" s="7" t="s">
        <v>6</v>
      </c>
      <c r="C2" s="7" t="s">
        <v>12</v>
      </c>
      <c r="D2" s="4" t="s">
        <v>0</v>
      </c>
      <c r="E2" s="4" t="s">
        <v>1</v>
      </c>
      <c r="F2" s="4" t="s">
        <v>2</v>
      </c>
      <c r="G2" s="4" t="s">
        <v>3</v>
      </c>
      <c r="H2" s="2" t="s">
        <v>4</v>
      </c>
      <c r="I2" s="2" t="s">
        <v>2</v>
      </c>
      <c r="J2" s="2" t="s">
        <v>3</v>
      </c>
      <c r="K2" s="2" t="s">
        <v>23</v>
      </c>
      <c r="L2" s="2" t="s">
        <v>5</v>
      </c>
      <c r="M2" s="2" t="s">
        <v>26</v>
      </c>
      <c r="N2" s="2" t="s">
        <v>0</v>
      </c>
      <c r="O2" s="2" t="s">
        <v>14</v>
      </c>
      <c r="P2" s="2" t="s">
        <v>22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x14ac:dyDescent="0.3">
      <c r="A3">
        <v>100</v>
      </c>
      <c r="B3" s="3" t="s">
        <v>7</v>
      </c>
      <c r="C3" s="6">
        <v>46090</v>
      </c>
      <c r="D3" s="3" t="s">
        <v>11</v>
      </c>
      <c r="E3" s="5">
        <v>32.5</v>
      </c>
      <c r="F3" s="3">
        <v>67.051400000000001</v>
      </c>
      <c r="G3" s="3">
        <f>E3*F3</f>
        <v>2179.1705000000002</v>
      </c>
      <c r="H3" s="3">
        <v>50</v>
      </c>
      <c r="I3" s="3">
        <v>65</v>
      </c>
      <c r="J3" s="3">
        <f>H3*I3</f>
        <v>3250</v>
      </c>
      <c r="K3" s="3"/>
      <c r="L3" s="3">
        <f>(G3+J3)/(E3+H3)</f>
        <v>65.808127272727276</v>
      </c>
      <c r="M3" s="10">
        <f>E3+H3</f>
        <v>82.5</v>
      </c>
      <c r="N3" s="3" t="s">
        <v>11</v>
      </c>
      <c r="O3" s="3" t="s">
        <v>7</v>
      </c>
      <c r="P3" s="3">
        <v>100</v>
      </c>
      <c r="Q3" s="3">
        <v>50</v>
      </c>
      <c r="R3" s="3">
        <v>0</v>
      </c>
      <c r="S3" s="3">
        <v>50</v>
      </c>
      <c r="T3" s="3">
        <v>53.333300000000001</v>
      </c>
    </row>
    <row r="4" spans="1:20" x14ac:dyDescent="0.3">
      <c r="A4">
        <v>50</v>
      </c>
      <c r="B4" s="3" t="s">
        <v>8</v>
      </c>
      <c r="C4" s="6">
        <v>46090</v>
      </c>
      <c r="D4" s="3" t="s">
        <v>11</v>
      </c>
      <c r="E4" s="3">
        <v>82.5</v>
      </c>
      <c r="F4" s="3">
        <v>65.808099999999996</v>
      </c>
      <c r="G4" s="3">
        <f>E4*F4</f>
        <v>5429.1682499999997</v>
      </c>
      <c r="H4" s="3">
        <v>10</v>
      </c>
      <c r="I4" s="3">
        <f>F4</f>
        <v>65.808099999999996</v>
      </c>
      <c r="J4" s="3"/>
      <c r="K4" s="3" t="s">
        <v>24</v>
      </c>
      <c r="L4" s="3">
        <v>65.808099999999996</v>
      </c>
      <c r="M4">
        <f>E4-H4</f>
        <v>72.5</v>
      </c>
      <c r="N4" s="3" t="s">
        <v>11</v>
      </c>
      <c r="O4" s="3" t="s">
        <v>8</v>
      </c>
      <c r="P4" s="3">
        <v>50</v>
      </c>
      <c r="Q4" s="3">
        <v>0</v>
      </c>
      <c r="R4" s="3">
        <v>10</v>
      </c>
      <c r="S4" s="3">
        <v>53.333300000000001</v>
      </c>
      <c r="T4" s="3">
        <v>53.333300000000001</v>
      </c>
    </row>
    <row r="5" spans="1:20" x14ac:dyDescent="0.3">
      <c r="A5">
        <v>51</v>
      </c>
      <c r="B5" s="3" t="s">
        <v>8</v>
      </c>
      <c r="C5" s="6">
        <v>46091</v>
      </c>
      <c r="D5" s="3" t="s">
        <v>11</v>
      </c>
      <c r="E5" s="3">
        <v>72.5</v>
      </c>
      <c r="F5" s="3">
        <v>65.808099999999996</v>
      </c>
      <c r="G5" s="3"/>
      <c r="H5" s="3">
        <v>20</v>
      </c>
      <c r="I5" s="3">
        <v>53.333300000000001</v>
      </c>
      <c r="J5" s="3"/>
      <c r="K5" s="3" t="s">
        <v>24</v>
      </c>
      <c r="L5" s="3">
        <v>65.808099999999996</v>
      </c>
      <c r="M5">
        <f>M4-(H5/50)</f>
        <v>72.099999999999994</v>
      </c>
      <c r="N5" s="3" t="s">
        <v>11</v>
      </c>
      <c r="O5" s="3" t="s">
        <v>8</v>
      </c>
      <c r="P5" s="3">
        <v>51</v>
      </c>
      <c r="Q5" s="3">
        <v>0</v>
      </c>
      <c r="R5" s="3">
        <v>20</v>
      </c>
      <c r="S5" s="3">
        <v>53.333300000000001</v>
      </c>
      <c r="T5" s="3">
        <v>53.333300000000001</v>
      </c>
    </row>
    <row r="6" spans="1:20" x14ac:dyDescent="0.3">
      <c r="A6">
        <v>13</v>
      </c>
      <c r="B6" s="3" t="s">
        <v>9</v>
      </c>
      <c r="C6" s="6">
        <v>46091</v>
      </c>
      <c r="D6" s="3" t="s">
        <v>11</v>
      </c>
      <c r="E6" s="3">
        <v>120</v>
      </c>
      <c r="F6" s="3">
        <v>53.333300000000001</v>
      </c>
      <c r="G6" s="3"/>
      <c r="H6" s="3">
        <v>20</v>
      </c>
      <c r="I6" s="3">
        <v>53.333300000000001</v>
      </c>
      <c r="J6" s="3"/>
      <c r="K6" s="3"/>
      <c r="L6" s="3"/>
      <c r="N6" s="3" t="s">
        <v>11</v>
      </c>
      <c r="O6" s="3" t="s">
        <v>9</v>
      </c>
      <c r="P6" s="3">
        <v>13</v>
      </c>
      <c r="Q6" s="3">
        <v>0</v>
      </c>
      <c r="R6" s="3">
        <v>20</v>
      </c>
      <c r="S6" s="3">
        <v>53.333300000000001</v>
      </c>
      <c r="T6" s="3">
        <v>53.333300000000001</v>
      </c>
    </row>
    <row r="7" spans="1:20" x14ac:dyDescent="0.3">
      <c r="A7">
        <v>100</v>
      </c>
      <c r="B7" s="3" t="s">
        <v>10</v>
      </c>
      <c r="C7" s="6">
        <v>46091</v>
      </c>
      <c r="D7" s="3" t="s">
        <v>11</v>
      </c>
      <c r="E7" s="3">
        <v>100</v>
      </c>
      <c r="F7" s="3">
        <v>53.333300000000001</v>
      </c>
      <c r="G7" s="3">
        <f>(E7*F7)</f>
        <v>5333.33</v>
      </c>
      <c r="H7" s="3">
        <v>50</v>
      </c>
      <c r="I7" s="3">
        <v>53.333300000000001</v>
      </c>
      <c r="J7" s="3">
        <f>H7*I7</f>
        <v>2666.665</v>
      </c>
      <c r="K7" s="3"/>
      <c r="L7" s="3">
        <v>50</v>
      </c>
      <c r="N7" s="3" t="s">
        <v>11</v>
      </c>
      <c r="O7" s="3" t="s">
        <v>10</v>
      </c>
      <c r="P7" s="3">
        <v>100</v>
      </c>
      <c r="Q7" s="3">
        <v>0</v>
      </c>
      <c r="R7" s="3">
        <v>50</v>
      </c>
      <c r="S7" s="3">
        <v>53.333300000000001</v>
      </c>
      <c r="T7" s="3">
        <v>50</v>
      </c>
    </row>
    <row r="8" spans="1:20" x14ac:dyDescent="0.3">
      <c r="A8">
        <v>101</v>
      </c>
      <c r="B8" s="8" t="s">
        <v>25</v>
      </c>
      <c r="C8" s="1">
        <v>46090</v>
      </c>
      <c r="D8" s="8" t="s">
        <v>11</v>
      </c>
      <c r="E8" s="8">
        <v>100</v>
      </c>
      <c r="F8" s="8">
        <v>50</v>
      </c>
      <c r="G8">
        <f>E8*F8</f>
        <v>5000</v>
      </c>
      <c r="H8" s="8">
        <v>50</v>
      </c>
      <c r="I8" s="8">
        <v>55</v>
      </c>
      <c r="J8">
        <f>H8*I8</f>
        <v>2750</v>
      </c>
      <c r="L8">
        <f>(J8+G8)/(E8+H8)</f>
        <v>51.666666666666664</v>
      </c>
    </row>
  </sheetData>
  <mergeCells count="3">
    <mergeCell ref="D1:G1"/>
    <mergeCell ref="H1:L1"/>
    <mergeCell ref="N1: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Arcila-Diaz</dc:creator>
  <cp:lastModifiedBy>Juan Arcila-Diaz</cp:lastModifiedBy>
  <dcterms:created xsi:type="dcterms:W3CDTF">2026-03-09T17:43:52Z</dcterms:created>
  <dcterms:modified xsi:type="dcterms:W3CDTF">2026-03-10T17:44:35Z</dcterms:modified>
</cp:coreProperties>
</file>