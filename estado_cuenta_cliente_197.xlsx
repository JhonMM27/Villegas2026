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SORCIO\Downloads\"/>
    </mc:Choice>
  </mc:AlternateContent>
  <bookViews>
    <workbookView xWindow="0" yWindow="0" windowWidth="28800" windowHeight="11865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H6" i="1" l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</calcChain>
</file>

<file path=xl/sharedStrings.xml><?xml version="1.0" encoding="utf-8"?>
<sst xmlns="http://schemas.openxmlformats.org/spreadsheetml/2006/main" count="56" uniqueCount="39">
  <si>
    <r>
      <rPr>
        <b/>
        <sz val="12"/>
        <color rgb="FF111111"/>
        <rFont val="Trebuchet MS"/>
        <family val="2"/>
      </rPr>
      <t>Estado de cuenta del Cliente</t>
    </r>
  </si>
  <si>
    <r>
      <rPr>
        <b/>
        <sz val="9"/>
        <color rgb="FF111111"/>
        <rFont val="Trebuchet MS"/>
        <family val="2"/>
      </rPr>
      <t xml:space="preserve">Cliente: </t>
    </r>
    <r>
      <rPr>
        <sz val="9"/>
        <color rgb="FF111111"/>
        <rFont val="Trebuchet MS"/>
        <family val="2"/>
      </rPr>
      <t xml:space="preserve">197 - PEPE BURGA
</t>
    </r>
    <r>
      <rPr>
        <b/>
        <sz val="9"/>
        <color rgb="FF111111"/>
        <rFont val="Trebuchet MS"/>
        <family val="2"/>
      </rPr>
      <t xml:space="preserve">Dirección: </t>
    </r>
    <r>
      <rPr>
        <sz val="9"/>
        <color rgb="FF111111"/>
        <rFont val="Trebuchet MS"/>
        <family val="2"/>
      </rPr>
      <t xml:space="preserve">CHOSICA DEL NORTE
</t>
    </r>
    <r>
      <rPr>
        <b/>
        <sz val="9"/>
        <color rgb="FF111111"/>
        <rFont val="Trebuchet MS"/>
        <family val="2"/>
      </rPr>
      <t xml:space="preserve">Teléfono: </t>
    </r>
    <r>
      <rPr>
        <sz val="9"/>
        <color rgb="FF111111"/>
        <rFont val="Trebuchet MS"/>
        <family val="2"/>
      </rPr>
      <t>942463143</t>
    </r>
  </si>
  <si>
    <r>
      <rPr>
        <b/>
        <sz val="8"/>
        <color rgb="FF111111"/>
        <rFont val="Trebuchet MS"/>
        <family val="2"/>
      </rPr>
      <t>Fecha</t>
    </r>
  </si>
  <si>
    <r>
      <rPr>
        <b/>
        <sz val="8"/>
        <color rgb="FF111111"/>
        <rFont val="Trebuchet MS"/>
        <family val="2"/>
      </rPr>
      <t>Documento</t>
    </r>
  </si>
  <si>
    <r>
      <rPr>
        <b/>
        <sz val="8"/>
        <color rgb="FF111111"/>
        <rFont val="Trebuchet MS"/>
        <family val="2"/>
      </rPr>
      <t>Detalle</t>
    </r>
  </si>
  <si>
    <r>
      <rPr>
        <b/>
        <sz val="8"/>
        <color rgb="FF111111"/>
        <rFont val="Trebuchet MS"/>
        <family val="2"/>
      </rPr>
      <t>Pago</t>
    </r>
  </si>
  <si>
    <r>
      <rPr>
        <b/>
        <sz val="9"/>
        <color rgb="FF111111"/>
        <rFont val="Trebuchet MS"/>
        <family val="2"/>
      </rPr>
      <t>SALDO ANTERIOR</t>
    </r>
  </si>
  <si>
    <r>
      <rPr>
        <b/>
        <sz val="9"/>
        <color rgb="FF111111"/>
        <rFont val="Trebuchet MS"/>
        <family val="2"/>
      </rPr>
      <t>VENTA</t>
    </r>
  </si>
  <si>
    <r>
      <rPr>
        <b/>
        <sz val="9"/>
        <color rgb="FF111111"/>
        <rFont val="Trebuchet MS"/>
        <family val="2"/>
      </rPr>
      <t>NP 1-118681</t>
    </r>
  </si>
  <si>
    <r>
      <rPr>
        <b/>
        <sz val="9"/>
        <color rgb="FF111111"/>
        <rFont val="Trebuchet MS"/>
        <family val="2"/>
      </rPr>
      <t>NP 1-119111</t>
    </r>
  </si>
  <si>
    <r>
      <rPr>
        <b/>
        <sz val="9"/>
        <color rgb="FF111111"/>
        <rFont val="Trebuchet MS"/>
        <family val="2"/>
      </rPr>
      <t>NP 1-119131</t>
    </r>
  </si>
  <si>
    <r>
      <rPr>
        <b/>
        <sz val="9"/>
        <color rgb="FF111111"/>
        <rFont val="Trebuchet MS"/>
        <family val="2"/>
      </rPr>
      <t>NP 1-119132</t>
    </r>
  </si>
  <si>
    <r>
      <rPr>
        <b/>
        <sz val="9"/>
        <color rgb="FF111111"/>
        <rFont val="Trebuchet MS"/>
        <family val="2"/>
      </rPr>
      <t>NP 1-119270</t>
    </r>
  </si>
  <si>
    <r>
      <rPr>
        <b/>
        <sz val="9"/>
        <color rgb="FF111111"/>
        <rFont val="Trebuchet MS"/>
        <family val="2"/>
      </rPr>
      <t>NP 1-119576</t>
    </r>
  </si>
  <si>
    <r>
      <rPr>
        <b/>
        <sz val="9"/>
        <color rgb="FF111111"/>
        <rFont val="Trebuchet MS"/>
        <family val="2"/>
      </rPr>
      <t>NP 1-119611</t>
    </r>
  </si>
  <si>
    <r>
      <rPr>
        <b/>
        <sz val="9"/>
        <color rgb="FF111111"/>
        <rFont val="Trebuchet MS"/>
        <family val="2"/>
      </rPr>
      <t>NP 1-120026</t>
    </r>
  </si>
  <si>
    <r>
      <rPr>
        <b/>
        <sz val="9"/>
        <color rgb="FF111111"/>
        <rFont val="Trebuchet MS"/>
        <family val="2"/>
      </rPr>
      <t>NP 1-120335</t>
    </r>
  </si>
  <si>
    <r>
      <rPr>
        <b/>
        <sz val="9"/>
        <color rgb="FF111111"/>
        <rFont val="Trebuchet MS"/>
        <family val="2"/>
      </rPr>
      <t>NP 1-120348</t>
    </r>
  </si>
  <si>
    <r>
      <rPr>
        <b/>
        <sz val="9"/>
        <color rgb="FF111111"/>
        <rFont val="Trebuchet MS"/>
        <family val="2"/>
      </rPr>
      <t>NP 01-120902</t>
    </r>
  </si>
  <si>
    <r>
      <rPr>
        <b/>
        <sz val="9"/>
        <color rgb="FF111111"/>
        <rFont val="Trebuchet MS"/>
        <family val="2"/>
      </rPr>
      <t>NP 01-120905</t>
    </r>
  </si>
  <si>
    <r>
      <rPr>
        <b/>
        <sz val="9"/>
        <color rgb="FF111111"/>
        <rFont val="Trebuchet MS"/>
        <family val="2"/>
      </rPr>
      <t>NP 01-121342</t>
    </r>
  </si>
  <si>
    <r>
      <rPr>
        <b/>
        <sz val="9"/>
        <color rgb="FF111111"/>
        <rFont val="Trebuchet MS"/>
        <family val="2"/>
      </rPr>
      <t>NP 01-121351</t>
    </r>
  </si>
  <si>
    <r>
      <rPr>
        <b/>
        <sz val="9"/>
        <color rgb="FF111111"/>
        <rFont val="Trebuchet MS"/>
        <family val="2"/>
      </rPr>
      <t>NP 01-121813</t>
    </r>
  </si>
  <si>
    <r>
      <rPr>
        <b/>
        <sz val="9"/>
        <color rgb="FF111111"/>
        <rFont val="Trebuchet MS"/>
        <family val="2"/>
      </rPr>
      <t>NP 01-121853</t>
    </r>
  </si>
  <si>
    <r>
      <rPr>
        <sz val="8"/>
        <color rgb="FF545454"/>
        <rFont val="Trebuchet MS"/>
        <family val="2"/>
      </rPr>
      <t>Sin abonos sueltos en el rango.</t>
    </r>
  </si>
  <si>
    <t>RC-42433</t>
  </si>
  <si>
    <t>PAGO CLIENTE</t>
  </si>
  <si>
    <t>RC-42434</t>
  </si>
  <si>
    <r>
      <rPr>
        <b/>
        <sz val="9"/>
        <color rgb="FF111111"/>
        <rFont val="Trebuchet MS"/>
        <family val="2"/>
      </rPr>
      <t xml:space="preserve">Saldo antes del filtro: </t>
    </r>
    <r>
      <rPr>
        <sz val="9"/>
        <color rgb="FF111111"/>
        <rFont val="Trebuchet MS"/>
        <family val="2"/>
      </rPr>
      <t xml:space="preserve">0.00
</t>
    </r>
    <r>
      <rPr>
        <b/>
        <sz val="9"/>
        <color rgb="FF111111"/>
        <rFont val="Trebuchet MS"/>
        <family val="2"/>
      </rPr>
      <t>Saldo final (según reporte): 19,</t>
    </r>
    <r>
      <rPr>
        <sz val="9"/>
        <color rgb="FF111111"/>
        <rFont val="Trebuchet MS"/>
        <family val="2"/>
      </rPr>
      <t xml:space="preserve">061.96
</t>
    </r>
    <r>
      <rPr>
        <b/>
        <sz val="9"/>
        <color rgb="FF111111"/>
        <rFont val="Trebuchet MS"/>
        <family val="2"/>
      </rPr>
      <t xml:space="preserve">Saldo a favor (abonos sueltos): </t>
    </r>
    <r>
      <rPr>
        <sz val="9"/>
        <color rgb="FF111111"/>
        <rFont val="Trebuchet MS"/>
        <family val="2"/>
      </rPr>
      <t>0.00</t>
    </r>
  </si>
  <si>
    <t>Saldo a favor (abonos sin venta asociada)</t>
  </si>
  <si>
    <r>
      <rPr>
        <b/>
        <sz val="10"/>
        <color rgb="FF111111"/>
        <rFont val="Trebuchet MS"/>
        <family val="2"/>
      </rPr>
      <t>Fecha</t>
    </r>
  </si>
  <si>
    <r>
      <rPr>
        <b/>
        <sz val="10"/>
        <color rgb="FF111111"/>
        <rFont val="Trebuchet MS"/>
        <family val="2"/>
      </rPr>
      <t>Documento</t>
    </r>
  </si>
  <si>
    <r>
      <rPr>
        <b/>
        <sz val="10"/>
        <color rgb="FF111111"/>
        <rFont val="Trebuchet MS"/>
        <family val="2"/>
      </rPr>
      <t>F. Venc.</t>
    </r>
  </si>
  <si>
    <r>
      <rPr>
        <b/>
        <sz val="10"/>
        <color rgb="FF111111"/>
        <rFont val="Trebuchet MS"/>
        <family val="2"/>
      </rPr>
      <t>Detalle</t>
    </r>
  </si>
  <si>
    <r>
      <rPr>
        <b/>
        <sz val="10"/>
        <color rgb="FF111111"/>
        <rFont val="Trebuchet MS"/>
        <family val="2"/>
      </rPr>
      <t>Crédito</t>
    </r>
  </si>
  <si>
    <r>
      <rPr>
        <b/>
        <sz val="10"/>
        <color rgb="FF111111"/>
        <rFont val="Trebuchet MS"/>
        <family val="2"/>
      </rPr>
      <t>Pago</t>
    </r>
  </si>
  <si>
    <r>
      <rPr>
        <b/>
        <sz val="10"/>
        <color rgb="FF111111"/>
        <rFont val="Trebuchet MS"/>
        <family val="2"/>
      </rPr>
      <t>Saldo</t>
    </r>
  </si>
  <si>
    <r>
      <rPr>
        <b/>
        <sz val="10"/>
        <color rgb="FF111111"/>
        <rFont val="Trebuchet MS"/>
        <family val="2"/>
      </rPr>
      <t>Créditos</t>
    </r>
  </si>
  <si>
    <r>
      <rPr>
        <b/>
        <sz val="10"/>
        <color rgb="FF111111"/>
        <rFont val="Trebuchet MS"/>
        <family val="2"/>
      </rPr>
      <t>Pagos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</si>
</sst>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6" formatCode="&quot;S/&quot;\ #,##0.00"/>
  </numFmts>
  <fonts count="16" x14ac:knownFonts="1">
    <font>
      <sz val="10"/>
      <color rgb="FF000000"/>
      <name val="Times New Roman"/>
      <charset val="204"/>
    </font>
    <font>
      <b/>
      <sz val="12"/>
      <name val="Trebuchet MS"/>
      <family val="2"/>
    </font>
    <font>
      <b/>
      <sz val="8"/>
      <name val="Trebuchet MS"/>
      <family val="2"/>
    </font>
    <font>
      <b/>
      <sz val="9"/>
      <color rgb="FF111111"/>
      <name val="Trebuchet MS"/>
      <family val="2"/>
    </font>
    <font>
      <b/>
      <sz val="9"/>
      <name val="Trebuchet MS"/>
      <family val="2"/>
    </font>
    <font>
      <sz val="9"/>
      <color rgb="FF111111"/>
      <name val="Trebuchet MS"/>
      <family val="2"/>
    </font>
    <font>
      <sz val="8"/>
      <name val="Trebuchet MS"/>
      <family val="2"/>
    </font>
    <font>
      <b/>
      <sz val="12"/>
      <color rgb="FF111111"/>
      <name val="Trebuchet MS"/>
      <family val="2"/>
    </font>
    <font>
      <b/>
      <sz val="8"/>
      <color rgb="FF111111"/>
      <name val="Trebuchet MS"/>
      <family val="2"/>
    </font>
    <font>
      <sz val="8"/>
      <color rgb="FF545454"/>
      <name val="Trebuchet MS"/>
      <family val="2"/>
    </font>
    <font>
      <sz val="10"/>
      <color rgb="FF000000"/>
      <name val="Times New Roman"/>
      <family val="1"/>
    </font>
    <font>
      <b/>
      <sz val="9"/>
      <color theme="1"/>
      <name val="Trebuchet MS"/>
      <family val="2"/>
    </font>
    <font>
      <b/>
      <sz val="9"/>
      <color rgb="FFFF0000"/>
      <name val="Trebuchet MS"/>
      <family val="2"/>
    </font>
    <font>
      <b/>
      <sz val="10"/>
      <name val="Trebuchet MS"/>
      <family val="2"/>
    </font>
    <font>
      <b/>
      <sz val="10"/>
      <color rgb="FF111111"/>
      <name val="Trebuchet MS"/>
      <family val="2"/>
    </font>
    <font>
      <b/>
      <sz val="10"/>
      <color rgb="FFFF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8F8F8"/>
      </patternFill>
    </fill>
    <fill>
      <patternFill patternType="solid">
        <fgColor rgb="FFFBFBFB"/>
      </patternFill>
    </fill>
    <fill>
      <patternFill patternType="solid">
        <fgColor rgb="FFF9F9F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111111"/>
      </top>
      <bottom style="thin">
        <color rgb="FFDDDDDD"/>
      </bottom>
      <diagonal/>
    </border>
    <border>
      <left style="thin">
        <color rgb="FFDDDDDD"/>
      </left>
      <right/>
      <top style="thin">
        <color rgb="FF111111"/>
      </top>
      <bottom style="thin">
        <color rgb="FF111111"/>
      </bottom>
      <diagonal/>
    </border>
    <border>
      <left style="thin">
        <color rgb="FFDDDDDD"/>
      </left>
      <right/>
      <top style="thin">
        <color rgb="FF111111"/>
      </top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medium">
        <color indexed="64"/>
      </bottom>
      <diagonal/>
    </border>
    <border>
      <left/>
      <right/>
      <top style="thin">
        <color rgb="FF111111"/>
      </top>
      <bottom style="thin">
        <color rgb="FF111111"/>
      </bottom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2" fontId="3" fillId="3" borderId="1" xfId="0" applyNumberFormat="1" applyFont="1" applyFill="1" applyBorder="1" applyAlignment="1">
      <alignment horizontal="right" vertical="top" shrinkToFit="1"/>
    </xf>
    <xf numFmtId="0" fontId="4" fillId="4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 indent="2" shrinkToFit="1"/>
    </xf>
    <xf numFmtId="4" fontId="3" fillId="4" borderId="1" xfId="0" applyNumberFormat="1" applyFont="1" applyFill="1" applyBorder="1" applyAlignment="1">
      <alignment horizontal="right" vertical="top" shrinkToFit="1"/>
    </xf>
    <xf numFmtId="2" fontId="3" fillId="4" borderId="1" xfId="0" applyNumberFormat="1" applyFont="1" applyFill="1" applyBorder="1" applyAlignment="1">
      <alignment horizontal="right" vertical="top" shrinkToFi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top" wrapText="1" indent="2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right" vertical="top" wrapText="1"/>
    </xf>
    <xf numFmtId="0" fontId="6" fillId="0" borderId="3" xfId="0" applyFont="1" applyFill="1" applyBorder="1" applyAlignment="1">
      <alignment horizontal="right" vertical="top" wrapText="1"/>
    </xf>
    <xf numFmtId="0" fontId="12" fillId="4" borderId="1" xfId="0" applyFont="1" applyFill="1" applyBorder="1" applyAlignment="1">
      <alignment horizontal="left" vertical="top" wrapText="1"/>
    </xf>
    <xf numFmtId="164" fontId="12" fillId="4" borderId="1" xfId="0" applyNumberFormat="1" applyFont="1" applyFill="1" applyBorder="1" applyAlignment="1">
      <alignment horizontal="right" vertical="top" indent="2" shrinkToFit="1"/>
    </xf>
    <xf numFmtId="2" fontId="12" fillId="4" borderId="1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right" vertical="top" wrapText="1" indent="2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right" vertical="top" wrapText="1" indent="2"/>
    </xf>
    <xf numFmtId="164" fontId="3" fillId="3" borderId="13" xfId="0" applyNumberFormat="1" applyFont="1" applyFill="1" applyBorder="1" applyAlignment="1">
      <alignment horizontal="left" vertical="top" shrinkToFit="1"/>
    </xf>
    <xf numFmtId="164" fontId="3" fillId="4" borderId="13" xfId="0" applyNumberFormat="1" applyFont="1" applyFill="1" applyBorder="1" applyAlignment="1">
      <alignment horizontal="left" vertical="top" shrinkToFit="1"/>
    </xf>
    <xf numFmtId="164" fontId="12" fillId="4" borderId="13" xfId="0" applyNumberFormat="1" applyFont="1" applyFill="1" applyBorder="1" applyAlignment="1">
      <alignment horizontal="left" vertical="top" shrinkToFit="1"/>
    </xf>
    <xf numFmtId="164" fontId="12" fillId="4" borderId="14" xfId="0" applyNumberFormat="1" applyFont="1" applyFill="1" applyBorder="1" applyAlignment="1">
      <alignment horizontal="left" vertical="top" shrinkToFit="1"/>
    </xf>
    <xf numFmtId="0" fontId="12" fillId="4" borderId="15" xfId="0" applyFont="1" applyFill="1" applyBorder="1" applyAlignment="1">
      <alignment horizontal="left" vertical="top" wrapText="1"/>
    </xf>
    <xf numFmtId="164" fontId="12" fillId="4" borderId="15" xfId="0" applyNumberFormat="1" applyFont="1" applyFill="1" applyBorder="1" applyAlignment="1">
      <alignment horizontal="right" vertical="top" indent="2" shrinkToFit="1"/>
    </xf>
    <xf numFmtId="2" fontId="12" fillId="4" borderId="15" xfId="0" applyNumberFormat="1" applyFont="1" applyFill="1" applyBorder="1" applyAlignment="1">
      <alignment horizontal="right" vertical="top" shrinkToFit="1"/>
    </xf>
    <xf numFmtId="2" fontId="3" fillId="3" borderId="16" xfId="0" applyNumberFormat="1" applyFont="1" applyFill="1" applyBorder="1" applyAlignment="1">
      <alignment horizontal="right" vertical="top" shrinkToFit="1"/>
    </xf>
    <xf numFmtId="4" fontId="3" fillId="4" borderId="16" xfId="0" applyNumberFormat="1" applyFont="1" applyFill="1" applyBorder="1" applyAlignment="1">
      <alignment horizontal="right" vertical="top" shrinkToFit="1"/>
    </xf>
    <xf numFmtId="4" fontId="11" fillId="4" borderId="16" xfId="0" applyNumberFormat="1" applyFont="1" applyFill="1" applyBorder="1" applyAlignment="1">
      <alignment horizontal="right" vertical="top" shrinkToFit="1"/>
    </xf>
    <xf numFmtId="4" fontId="11" fillId="4" borderId="17" xfId="0" applyNumberFormat="1" applyFont="1" applyFill="1" applyBorder="1" applyAlignment="1">
      <alignment horizontal="right" vertical="top" shrinkToFit="1"/>
    </xf>
    <xf numFmtId="0" fontId="10" fillId="0" borderId="9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6" fillId="0" borderId="4" xfId="0" applyFont="1" applyFill="1" applyBorder="1" applyAlignment="1">
      <alignment vertical="top" wrapText="1"/>
    </xf>
    <xf numFmtId="0" fontId="13" fillId="7" borderId="13" xfId="0" applyFont="1" applyFill="1" applyBorder="1" applyAlignment="1">
      <alignment horizontal="left" vertical="top" wrapText="1" indent="3"/>
    </xf>
    <xf numFmtId="0" fontId="13" fillId="7" borderId="1" xfId="0" applyFont="1" applyFill="1" applyBorder="1" applyAlignment="1">
      <alignment horizontal="left" vertical="top" wrapText="1" indent="3"/>
    </xf>
    <xf numFmtId="0" fontId="13" fillId="7" borderId="1" xfId="0" applyFont="1" applyFill="1" applyBorder="1" applyAlignment="1">
      <alignment horizontal="right" vertical="top" wrapText="1" indent="3"/>
    </xf>
    <xf numFmtId="0" fontId="13" fillId="7" borderId="1" xfId="0" applyFont="1" applyFill="1" applyBorder="1" applyAlignment="1">
      <alignment horizontal="left" vertical="top" wrapText="1" indent="4"/>
    </xf>
    <xf numFmtId="0" fontId="13" fillId="7" borderId="1" xfId="0" applyFont="1" applyFill="1" applyBorder="1" applyAlignment="1">
      <alignment horizontal="right" vertical="top" wrapText="1"/>
    </xf>
    <xf numFmtId="0" fontId="13" fillId="7" borderId="16" xfId="0" applyFont="1" applyFill="1" applyBorder="1" applyAlignment="1">
      <alignment horizontal="right" vertical="top" wrapText="1"/>
    </xf>
    <xf numFmtId="0" fontId="0" fillId="6" borderId="11" xfId="0" applyFill="1" applyBorder="1" applyAlignment="1">
      <alignment horizontal="left" vertical="top" wrapText="1" indent="2"/>
    </xf>
    <xf numFmtId="0" fontId="0" fillId="6" borderId="0" xfId="0" applyFill="1" applyBorder="1" applyAlignment="1">
      <alignment horizontal="left" vertical="top" wrapText="1" indent="2"/>
    </xf>
    <xf numFmtId="0" fontId="13" fillId="5" borderId="6" xfId="0" applyFont="1" applyFill="1" applyBorder="1" applyAlignment="1">
      <alignment vertical="top" wrapText="1"/>
    </xf>
    <xf numFmtId="0" fontId="13" fillId="5" borderId="18" xfId="0" applyFont="1" applyFill="1" applyBorder="1" applyAlignment="1">
      <alignment vertical="top" wrapText="1"/>
    </xf>
    <xf numFmtId="166" fontId="14" fillId="5" borderId="7" xfId="0" applyNumberFormat="1" applyFont="1" applyFill="1" applyBorder="1" applyAlignment="1">
      <alignment vertical="top" shrinkToFit="1"/>
    </xf>
    <xf numFmtId="166" fontId="15" fillId="5" borderId="5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2</xdr:row>
      <xdr:rowOff>0</xdr:rowOff>
    </xdr:from>
    <xdr:ext cx="5114925" cy="581025"/>
    <xdr:sp macro="" textlink="">
      <xdr:nvSpPr>
        <xdr:cNvPr id="2" name="Shape 2"/>
        <xdr:cNvSpPr/>
      </xdr:nvSpPr>
      <xdr:spPr>
        <a:xfrm>
          <a:off x="571499" y="219075"/>
          <a:ext cx="5114925" cy="581025"/>
        </a:xfrm>
        <a:custGeom>
          <a:avLst/>
          <a:gdLst/>
          <a:ahLst/>
          <a:cxnLst/>
          <a:rect l="0" t="0" r="0" b="0"/>
          <a:pathLst>
            <a:path w="7074534" h="708025">
              <a:moveTo>
                <a:pt x="33362" y="0"/>
              </a:moveTo>
              <a:lnTo>
                <a:pt x="32257" y="0"/>
              </a:lnTo>
              <a:lnTo>
                <a:pt x="31165" y="50"/>
              </a:lnTo>
              <a:lnTo>
                <a:pt x="30086" y="152"/>
              </a:lnTo>
              <a:lnTo>
                <a:pt x="28994" y="266"/>
              </a:lnTo>
              <a:lnTo>
                <a:pt x="27914" y="419"/>
              </a:lnTo>
              <a:lnTo>
                <a:pt x="26847" y="634"/>
              </a:lnTo>
              <a:lnTo>
                <a:pt x="25768" y="850"/>
              </a:lnTo>
              <a:lnTo>
                <a:pt x="20574" y="2540"/>
              </a:lnTo>
              <a:lnTo>
                <a:pt x="19570" y="2946"/>
              </a:lnTo>
              <a:lnTo>
                <a:pt x="18580" y="3416"/>
              </a:lnTo>
              <a:lnTo>
                <a:pt x="17614" y="3936"/>
              </a:lnTo>
              <a:lnTo>
                <a:pt x="16649" y="4445"/>
              </a:lnTo>
              <a:lnTo>
                <a:pt x="15722" y="5016"/>
              </a:lnTo>
              <a:lnTo>
                <a:pt x="14808" y="5626"/>
              </a:lnTo>
              <a:lnTo>
                <a:pt x="13893" y="6223"/>
              </a:lnTo>
              <a:lnTo>
                <a:pt x="13017" y="6883"/>
              </a:lnTo>
              <a:lnTo>
                <a:pt x="12179" y="7569"/>
              </a:lnTo>
              <a:lnTo>
                <a:pt x="11328" y="8267"/>
              </a:lnTo>
              <a:lnTo>
                <a:pt x="10528" y="9004"/>
              </a:lnTo>
              <a:lnTo>
                <a:pt x="9753" y="9778"/>
              </a:lnTo>
            </a:path>
            <a:path w="7074534" h="708025">
              <a:moveTo>
                <a:pt x="33337" y="0"/>
              </a:moveTo>
              <a:lnTo>
                <a:pt x="7040943" y="0"/>
              </a:lnTo>
            </a:path>
            <a:path w="7074534" h="708025">
              <a:moveTo>
                <a:pt x="7064527" y="9778"/>
              </a:moveTo>
              <a:lnTo>
                <a:pt x="7059472" y="5626"/>
              </a:lnTo>
              <a:lnTo>
                <a:pt x="7058558" y="5016"/>
              </a:lnTo>
              <a:lnTo>
                <a:pt x="7057631" y="4445"/>
              </a:lnTo>
              <a:lnTo>
                <a:pt x="7056666" y="3936"/>
              </a:lnTo>
              <a:lnTo>
                <a:pt x="7055700" y="3416"/>
              </a:lnTo>
              <a:lnTo>
                <a:pt x="7054710" y="2946"/>
              </a:lnTo>
              <a:lnTo>
                <a:pt x="7053707" y="2540"/>
              </a:lnTo>
              <a:lnTo>
                <a:pt x="7052691" y="2120"/>
              </a:lnTo>
              <a:lnTo>
                <a:pt x="7047433" y="634"/>
              </a:lnTo>
              <a:lnTo>
                <a:pt x="7046366" y="419"/>
              </a:lnTo>
              <a:lnTo>
                <a:pt x="7045286" y="266"/>
              </a:lnTo>
              <a:lnTo>
                <a:pt x="7044194" y="152"/>
              </a:lnTo>
              <a:lnTo>
                <a:pt x="7043115" y="50"/>
              </a:lnTo>
              <a:lnTo>
                <a:pt x="7042023" y="0"/>
              </a:lnTo>
              <a:lnTo>
                <a:pt x="7040918" y="0"/>
              </a:lnTo>
            </a:path>
            <a:path w="7074534" h="708025">
              <a:moveTo>
                <a:pt x="9753" y="698055"/>
              </a:moveTo>
              <a:lnTo>
                <a:pt x="10528" y="698830"/>
              </a:lnTo>
              <a:lnTo>
                <a:pt x="11328" y="699566"/>
              </a:lnTo>
              <a:lnTo>
                <a:pt x="12179" y="700252"/>
              </a:lnTo>
              <a:lnTo>
                <a:pt x="13017" y="700951"/>
              </a:lnTo>
              <a:lnTo>
                <a:pt x="13893" y="701598"/>
              </a:lnTo>
              <a:lnTo>
                <a:pt x="14808" y="702208"/>
              </a:lnTo>
              <a:lnTo>
                <a:pt x="15722" y="702818"/>
              </a:lnTo>
              <a:lnTo>
                <a:pt x="26847" y="707186"/>
              </a:lnTo>
              <a:lnTo>
                <a:pt x="27914" y="707402"/>
              </a:lnTo>
              <a:lnTo>
                <a:pt x="28994" y="707567"/>
              </a:lnTo>
              <a:lnTo>
                <a:pt x="30086" y="707669"/>
              </a:lnTo>
              <a:lnTo>
                <a:pt x="31165" y="707783"/>
              </a:lnTo>
              <a:lnTo>
                <a:pt x="32257" y="707834"/>
              </a:lnTo>
              <a:lnTo>
                <a:pt x="33362" y="707834"/>
              </a:lnTo>
            </a:path>
            <a:path w="7074534" h="708025">
              <a:moveTo>
                <a:pt x="33337" y="707834"/>
              </a:moveTo>
              <a:lnTo>
                <a:pt x="7040943" y="707834"/>
              </a:lnTo>
            </a:path>
            <a:path w="7074534" h="708025">
              <a:moveTo>
                <a:pt x="7040918" y="707834"/>
              </a:moveTo>
              <a:lnTo>
                <a:pt x="7042023" y="707834"/>
              </a:lnTo>
              <a:lnTo>
                <a:pt x="7043115" y="707783"/>
              </a:lnTo>
              <a:lnTo>
                <a:pt x="7044194" y="707669"/>
              </a:lnTo>
              <a:lnTo>
                <a:pt x="7045286" y="707567"/>
              </a:lnTo>
              <a:lnTo>
                <a:pt x="7046366" y="707402"/>
              </a:lnTo>
              <a:lnTo>
                <a:pt x="7047433" y="707186"/>
              </a:lnTo>
              <a:lnTo>
                <a:pt x="7048512" y="706983"/>
              </a:lnTo>
              <a:lnTo>
                <a:pt x="7059472" y="702208"/>
              </a:lnTo>
              <a:lnTo>
                <a:pt x="7060387" y="701598"/>
              </a:lnTo>
              <a:lnTo>
                <a:pt x="7061263" y="700951"/>
              </a:lnTo>
              <a:lnTo>
                <a:pt x="7062101" y="700252"/>
              </a:lnTo>
              <a:lnTo>
                <a:pt x="7062952" y="699566"/>
              </a:lnTo>
              <a:lnTo>
                <a:pt x="7063752" y="698830"/>
              </a:lnTo>
              <a:lnTo>
                <a:pt x="7064527" y="698055"/>
              </a:lnTo>
            </a:path>
            <a:path w="7074534" h="708025">
              <a:moveTo>
                <a:pt x="7074281" y="33350"/>
              </a:moveTo>
              <a:lnTo>
                <a:pt x="7074281" y="32257"/>
              </a:lnTo>
              <a:lnTo>
                <a:pt x="7074230" y="31165"/>
              </a:lnTo>
              <a:lnTo>
                <a:pt x="7074115" y="30086"/>
              </a:lnTo>
              <a:lnTo>
                <a:pt x="7074014" y="28994"/>
              </a:lnTo>
              <a:lnTo>
                <a:pt x="7068654" y="14808"/>
              </a:lnTo>
              <a:lnTo>
                <a:pt x="7068045" y="13893"/>
              </a:lnTo>
              <a:lnTo>
                <a:pt x="7067397" y="13017"/>
              </a:lnTo>
              <a:lnTo>
                <a:pt x="7066699" y="12179"/>
              </a:lnTo>
              <a:lnTo>
                <a:pt x="7066013" y="11328"/>
              </a:lnTo>
              <a:lnTo>
                <a:pt x="7065276" y="10515"/>
              </a:lnTo>
              <a:lnTo>
                <a:pt x="7064502" y="9753"/>
              </a:lnTo>
            </a:path>
            <a:path w="7074534" h="708025">
              <a:moveTo>
                <a:pt x="7074281" y="33337"/>
              </a:moveTo>
              <a:lnTo>
                <a:pt x="7074281" y="674497"/>
              </a:lnTo>
            </a:path>
            <a:path w="7074534" h="708025">
              <a:moveTo>
                <a:pt x="7064502" y="698080"/>
              </a:moveTo>
              <a:lnTo>
                <a:pt x="7065276" y="697306"/>
              </a:lnTo>
              <a:lnTo>
                <a:pt x="7066013" y="696493"/>
              </a:lnTo>
              <a:lnTo>
                <a:pt x="7066699" y="695655"/>
              </a:lnTo>
              <a:lnTo>
                <a:pt x="7067397" y="694804"/>
              </a:lnTo>
              <a:lnTo>
                <a:pt x="7071741" y="687247"/>
              </a:lnTo>
              <a:lnTo>
                <a:pt x="7072160" y="686244"/>
              </a:lnTo>
              <a:lnTo>
                <a:pt x="7072528" y="685215"/>
              </a:lnTo>
              <a:lnTo>
                <a:pt x="7072845" y="684161"/>
              </a:lnTo>
              <a:lnTo>
                <a:pt x="7073163" y="683120"/>
              </a:lnTo>
              <a:lnTo>
                <a:pt x="7074115" y="677748"/>
              </a:lnTo>
              <a:lnTo>
                <a:pt x="7074230" y="676655"/>
              </a:lnTo>
              <a:lnTo>
                <a:pt x="7074281" y="675563"/>
              </a:lnTo>
              <a:lnTo>
                <a:pt x="7074281" y="674471"/>
              </a:lnTo>
            </a:path>
            <a:path w="7074534" h="708025">
              <a:moveTo>
                <a:pt x="9778" y="9753"/>
              </a:moveTo>
              <a:lnTo>
                <a:pt x="9004" y="10515"/>
              </a:lnTo>
              <a:lnTo>
                <a:pt x="8267" y="11328"/>
              </a:lnTo>
              <a:lnTo>
                <a:pt x="7581" y="12179"/>
              </a:lnTo>
              <a:lnTo>
                <a:pt x="6883" y="13017"/>
              </a:lnTo>
              <a:lnTo>
                <a:pt x="6235" y="13893"/>
              </a:lnTo>
              <a:lnTo>
                <a:pt x="5626" y="14808"/>
              </a:lnTo>
              <a:lnTo>
                <a:pt x="5016" y="15709"/>
              </a:lnTo>
              <a:lnTo>
                <a:pt x="165" y="30086"/>
              </a:lnTo>
              <a:lnTo>
                <a:pt x="50" y="31165"/>
              </a:lnTo>
              <a:lnTo>
                <a:pt x="0" y="32257"/>
              </a:lnTo>
              <a:lnTo>
                <a:pt x="0" y="33350"/>
              </a:lnTo>
            </a:path>
            <a:path w="7074534" h="708025">
              <a:moveTo>
                <a:pt x="0" y="33337"/>
              </a:moveTo>
              <a:lnTo>
                <a:pt x="0" y="674497"/>
              </a:lnTo>
            </a:path>
            <a:path w="7074534" h="708025">
              <a:moveTo>
                <a:pt x="0" y="674471"/>
              </a:moveTo>
              <a:lnTo>
                <a:pt x="0" y="675563"/>
              </a:lnTo>
              <a:lnTo>
                <a:pt x="50" y="676655"/>
              </a:lnTo>
              <a:lnTo>
                <a:pt x="165" y="677748"/>
              </a:lnTo>
              <a:lnTo>
                <a:pt x="266" y="678840"/>
              </a:lnTo>
              <a:lnTo>
                <a:pt x="1435" y="684161"/>
              </a:lnTo>
              <a:lnTo>
                <a:pt x="1752" y="685215"/>
              </a:lnTo>
              <a:lnTo>
                <a:pt x="2120" y="686244"/>
              </a:lnTo>
              <a:lnTo>
                <a:pt x="2539" y="687247"/>
              </a:lnTo>
              <a:lnTo>
                <a:pt x="2959" y="688263"/>
              </a:lnTo>
              <a:lnTo>
                <a:pt x="7581" y="695655"/>
              </a:lnTo>
              <a:lnTo>
                <a:pt x="8267" y="696493"/>
              </a:lnTo>
              <a:lnTo>
                <a:pt x="9004" y="697306"/>
              </a:lnTo>
              <a:lnTo>
                <a:pt x="9778" y="698080"/>
              </a:lnTo>
            </a:path>
          </a:pathLst>
        </a:custGeom>
        <a:ln w="9525">
          <a:solidFill>
            <a:srgbClr val="DDDDDD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showGridLines="0" tabSelected="1" topLeftCell="A7" workbookViewId="0">
      <selection activeCell="L17" sqref="L17"/>
    </sheetView>
  </sheetViews>
  <sheetFormatPr baseColWidth="10" defaultColWidth="9.33203125" defaultRowHeight="12.75" x14ac:dyDescent="0.2"/>
  <cols>
    <col min="2" max="2" width="18.83203125" customWidth="1"/>
    <col min="3" max="3" width="22.83203125" customWidth="1"/>
    <col min="4" max="4" width="19.33203125" customWidth="1"/>
    <col min="5" max="5" width="21.33203125" customWidth="1"/>
    <col min="6" max="6" width="15.33203125" customWidth="1"/>
    <col min="7" max="7" width="14.1640625" customWidth="1"/>
    <col min="8" max="8" width="26.1640625" customWidth="1"/>
  </cols>
  <sheetData>
    <row r="1" spans="2:8" ht="13.5" thickBot="1" x14ac:dyDescent="0.25"/>
    <row r="2" spans="2:8" ht="17.25" customHeight="1" x14ac:dyDescent="0.2">
      <c r="B2" s="18" t="s">
        <v>0</v>
      </c>
      <c r="C2" s="19"/>
      <c r="D2" s="19"/>
      <c r="E2" s="19"/>
      <c r="F2" s="19"/>
      <c r="G2" s="19"/>
      <c r="H2" s="20"/>
    </row>
    <row r="3" spans="2:8" ht="47.25" customHeight="1" x14ac:dyDescent="0.2">
      <c r="B3" s="45" t="s">
        <v>1</v>
      </c>
      <c r="C3" s="46"/>
      <c r="D3" s="46"/>
      <c r="E3" s="17" t="s">
        <v>28</v>
      </c>
      <c r="F3" s="8"/>
      <c r="G3" s="8"/>
      <c r="H3" s="21"/>
    </row>
    <row r="4" spans="2:8" ht="22.5" customHeight="1" x14ac:dyDescent="0.2">
      <c r="B4" s="39" t="s">
        <v>30</v>
      </c>
      <c r="C4" s="40" t="s">
        <v>31</v>
      </c>
      <c r="D4" s="41" t="s">
        <v>32</v>
      </c>
      <c r="E4" s="42" t="s">
        <v>33</v>
      </c>
      <c r="F4" s="43" t="s">
        <v>34</v>
      </c>
      <c r="G4" s="43" t="s">
        <v>35</v>
      </c>
      <c r="H4" s="44" t="s">
        <v>36</v>
      </c>
    </row>
    <row r="5" spans="2:8" ht="23.45" customHeight="1" x14ac:dyDescent="0.2">
      <c r="B5" s="22">
        <v>46039</v>
      </c>
      <c r="C5" s="9" t="s">
        <v>6</v>
      </c>
      <c r="D5" s="10"/>
      <c r="E5" s="11"/>
      <c r="F5" s="2">
        <v>0</v>
      </c>
      <c r="G5" s="2">
        <v>0</v>
      </c>
      <c r="H5" s="29">
        <v>726.39</v>
      </c>
    </row>
    <row r="6" spans="2:8" ht="23.45" customHeight="1" x14ac:dyDescent="0.2">
      <c r="B6" s="23">
        <v>46039</v>
      </c>
      <c r="C6" s="3" t="s">
        <v>8</v>
      </c>
      <c r="D6" s="4">
        <v>46054</v>
      </c>
      <c r="E6" s="3" t="s">
        <v>7</v>
      </c>
      <c r="F6" s="6">
        <v>62</v>
      </c>
      <c r="G6" s="6">
        <v>0</v>
      </c>
      <c r="H6" s="30">
        <f>H5+F6</f>
        <v>788.39</v>
      </c>
    </row>
    <row r="7" spans="2:8" ht="23.45" customHeight="1" x14ac:dyDescent="0.2">
      <c r="B7" s="23">
        <v>46049</v>
      </c>
      <c r="C7" s="3" t="s">
        <v>9</v>
      </c>
      <c r="D7" s="4">
        <v>46005</v>
      </c>
      <c r="E7" s="3" t="s">
        <v>7</v>
      </c>
      <c r="F7" s="5">
        <v>6213.6</v>
      </c>
      <c r="G7" s="6">
        <v>0</v>
      </c>
      <c r="H7" s="30">
        <f t="shared" ref="H7:H22" si="0">H6+F7</f>
        <v>7001.9900000000007</v>
      </c>
    </row>
    <row r="8" spans="2:8" ht="23.45" customHeight="1" x14ac:dyDescent="0.2">
      <c r="B8" s="23">
        <v>46049</v>
      </c>
      <c r="C8" s="3" t="s">
        <v>10</v>
      </c>
      <c r="D8" s="4">
        <v>46064</v>
      </c>
      <c r="E8" s="3" t="s">
        <v>7</v>
      </c>
      <c r="F8" s="6">
        <v>925</v>
      </c>
      <c r="G8" s="6">
        <v>0</v>
      </c>
      <c r="H8" s="30">
        <f t="shared" si="0"/>
        <v>7926.9900000000007</v>
      </c>
    </row>
    <row r="9" spans="2:8" ht="23.45" customHeight="1" x14ac:dyDescent="0.2">
      <c r="B9" s="23">
        <v>46049</v>
      </c>
      <c r="C9" s="3" t="s">
        <v>11</v>
      </c>
      <c r="D9" s="4">
        <v>46064</v>
      </c>
      <c r="E9" s="3" t="s">
        <v>7</v>
      </c>
      <c r="F9" s="6">
        <v>548</v>
      </c>
      <c r="G9" s="6">
        <v>0</v>
      </c>
      <c r="H9" s="30">
        <f t="shared" si="0"/>
        <v>8474.9900000000016</v>
      </c>
    </row>
    <row r="10" spans="2:8" ht="23.45" customHeight="1" x14ac:dyDescent="0.2">
      <c r="B10" s="23">
        <v>46051</v>
      </c>
      <c r="C10" s="3" t="s">
        <v>12</v>
      </c>
      <c r="D10" s="4">
        <v>46066</v>
      </c>
      <c r="E10" s="3" t="s">
        <v>7</v>
      </c>
      <c r="F10" s="6">
        <v>100</v>
      </c>
      <c r="G10" s="6">
        <v>0</v>
      </c>
      <c r="H10" s="30">
        <f t="shared" si="0"/>
        <v>8574.9900000000016</v>
      </c>
    </row>
    <row r="11" spans="2:8" ht="23.45" customHeight="1" x14ac:dyDescent="0.2">
      <c r="B11" s="23">
        <v>46058</v>
      </c>
      <c r="C11" s="3" t="s">
        <v>13</v>
      </c>
      <c r="D11" s="4">
        <v>46073</v>
      </c>
      <c r="E11" s="3" t="s">
        <v>7</v>
      </c>
      <c r="F11" s="5">
        <v>6041.57</v>
      </c>
      <c r="G11" s="6">
        <v>0</v>
      </c>
      <c r="H11" s="30">
        <f t="shared" si="0"/>
        <v>14616.560000000001</v>
      </c>
    </row>
    <row r="12" spans="2:8" ht="23.45" customHeight="1" x14ac:dyDescent="0.2">
      <c r="B12" s="23">
        <v>46058</v>
      </c>
      <c r="C12" s="3" t="s">
        <v>14</v>
      </c>
      <c r="D12" s="4">
        <v>46065</v>
      </c>
      <c r="E12" s="3" t="s">
        <v>7</v>
      </c>
      <c r="F12" s="6">
        <v>60</v>
      </c>
      <c r="G12" s="6">
        <v>0</v>
      </c>
      <c r="H12" s="30">
        <f t="shared" si="0"/>
        <v>14676.560000000001</v>
      </c>
    </row>
    <row r="13" spans="2:8" ht="23.45" customHeight="1" x14ac:dyDescent="0.2">
      <c r="B13" s="23">
        <v>46067</v>
      </c>
      <c r="C13" s="3" t="s">
        <v>15</v>
      </c>
      <c r="D13" s="4">
        <v>46082</v>
      </c>
      <c r="E13" s="3" t="s">
        <v>7</v>
      </c>
      <c r="F13" s="5">
        <v>6045.6</v>
      </c>
      <c r="G13" s="6">
        <v>0</v>
      </c>
      <c r="H13" s="30">
        <f t="shared" si="0"/>
        <v>20722.160000000003</v>
      </c>
    </row>
    <row r="14" spans="2:8" ht="23.45" customHeight="1" x14ac:dyDescent="0.2">
      <c r="B14" s="23">
        <v>46073</v>
      </c>
      <c r="C14" s="3" t="s">
        <v>16</v>
      </c>
      <c r="D14" s="4">
        <v>46088</v>
      </c>
      <c r="E14" s="3" t="s">
        <v>7</v>
      </c>
      <c r="F14" s="5">
        <v>6080</v>
      </c>
      <c r="G14" s="6">
        <v>0</v>
      </c>
      <c r="H14" s="30">
        <f t="shared" si="0"/>
        <v>26802.160000000003</v>
      </c>
    </row>
    <row r="15" spans="2:8" ht="23.45" customHeight="1" x14ac:dyDescent="0.2">
      <c r="B15" s="23">
        <v>46073</v>
      </c>
      <c r="C15" s="3" t="s">
        <v>17</v>
      </c>
      <c r="D15" s="4">
        <v>46088</v>
      </c>
      <c r="E15" s="3" t="s">
        <v>7</v>
      </c>
      <c r="F15" s="6">
        <v>776</v>
      </c>
      <c r="G15" s="6">
        <v>0</v>
      </c>
      <c r="H15" s="30">
        <f t="shared" si="0"/>
        <v>27578.160000000003</v>
      </c>
    </row>
    <row r="16" spans="2:8" ht="23.45" customHeight="1" x14ac:dyDescent="0.2">
      <c r="B16" s="23">
        <v>46085</v>
      </c>
      <c r="C16" s="3" t="s">
        <v>18</v>
      </c>
      <c r="D16" s="4">
        <v>46085</v>
      </c>
      <c r="E16" s="3" t="s">
        <v>7</v>
      </c>
      <c r="F16" s="5">
        <v>6050</v>
      </c>
      <c r="G16" s="6">
        <v>0</v>
      </c>
      <c r="H16" s="30">
        <f t="shared" si="0"/>
        <v>33628.160000000003</v>
      </c>
    </row>
    <row r="17" spans="2:8" ht="23.45" customHeight="1" x14ac:dyDescent="0.2">
      <c r="B17" s="23">
        <v>46085</v>
      </c>
      <c r="C17" s="3" t="s">
        <v>19</v>
      </c>
      <c r="D17" s="4">
        <v>46100</v>
      </c>
      <c r="E17" s="3" t="s">
        <v>7</v>
      </c>
      <c r="F17" s="6">
        <v>802</v>
      </c>
      <c r="G17" s="6">
        <v>0</v>
      </c>
      <c r="H17" s="30">
        <f t="shared" si="0"/>
        <v>34430.160000000003</v>
      </c>
    </row>
    <row r="18" spans="2:8" ht="23.45" customHeight="1" x14ac:dyDescent="0.2">
      <c r="B18" s="23">
        <v>46095</v>
      </c>
      <c r="C18" s="3" t="s">
        <v>20</v>
      </c>
      <c r="D18" s="4">
        <v>46095</v>
      </c>
      <c r="E18" s="3" t="s">
        <v>7</v>
      </c>
      <c r="F18" s="5">
        <v>6054.4</v>
      </c>
      <c r="G18" s="6">
        <v>0</v>
      </c>
      <c r="H18" s="30">
        <f t="shared" si="0"/>
        <v>40484.560000000005</v>
      </c>
    </row>
    <row r="19" spans="2:8" ht="23.45" customHeight="1" x14ac:dyDescent="0.2">
      <c r="B19" s="23">
        <v>46095</v>
      </c>
      <c r="C19" s="3" t="s">
        <v>21</v>
      </c>
      <c r="D19" s="4">
        <v>46110</v>
      </c>
      <c r="E19" s="3" t="s">
        <v>7</v>
      </c>
      <c r="F19" s="6">
        <v>205</v>
      </c>
      <c r="G19" s="6">
        <v>0</v>
      </c>
      <c r="H19" s="30">
        <f>H18+F19</f>
        <v>40689.560000000005</v>
      </c>
    </row>
    <row r="20" spans="2:8" ht="23.45" customHeight="1" x14ac:dyDescent="0.2">
      <c r="B20" s="24">
        <v>46105</v>
      </c>
      <c r="C20" s="14" t="s">
        <v>25</v>
      </c>
      <c r="D20" s="15"/>
      <c r="E20" s="14" t="s">
        <v>26</v>
      </c>
      <c r="F20" s="16"/>
      <c r="G20" s="16">
        <v>8000</v>
      </c>
      <c r="H20" s="31">
        <f>H19-G20</f>
        <v>32689.560000000005</v>
      </c>
    </row>
    <row r="21" spans="2:8" ht="23.45" customHeight="1" x14ac:dyDescent="0.2">
      <c r="B21" s="23">
        <v>46105</v>
      </c>
      <c r="C21" s="3" t="s">
        <v>22</v>
      </c>
      <c r="D21" s="4">
        <v>46105</v>
      </c>
      <c r="E21" s="3" t="s">
        <v>7</v>
      </c>
      <c r="F21" s="5">
        <v>6230.4</v>
      </c>
      <c r="G21" s="6">
        <v>0</v>
      </c>
      <c r="H21" s="31">
        <f>H20+F21</f>
        <v>38919.960000000006</v>
      </c>
    </row>
    <row r="22" spans="2:8" ht="23.45" customHeight="1" x14ac:dyDescent="0.2">
      <c r="B22" s="23">
        <v>46105</v>
      </c>
      <c r="C22" s="3" t="s">
        <v>23</v>
      </c>
      <c r="D22" s="4">
        <v>46120</v>
      </c>
      <c r="E22" s="3" t="s">
        <v>7</v>
      </c>
      <c r="F22" s="6">
        <v>142</v>
      </c>
      <c r="G22" s="6">
        <v>0</v>
      </c>
      <c r="H22" s="31">
        <f>H21+F22</f>
        <v>39061.960000000006</v>
      </c>
    </row>
    <row r="23" spans="2:8" ht="23.45" customHeight="1" thickBot="1" x14ac:dyDescent="0.25">
      <c r="B23" s="25">
        <v>46105</v>
      </c>
      <c r="C23" s="26" t="s">
        <v>27</v>
      </c>
      <c r="D23" s="27"/>
      <c r="E23" s="26" t="s">
        <v>26</v>
      </c>
      <c r="F23" s="28"/>
      <c r="G23" s="28">
        <v>20000</v>
      </c>
      <c r="H23" s="32">
        <f>H22-G23-F24</f>
        <v>19061.960000000006</v>
      </c>
    </row>
    <row r="24" spans="2:8" ht="15" customHeight="1" x14ac:dyDescent="0.2">
      <c r="B24" s="33" t="s">
        <v>29</v>
      </c>
      <c r="C24" s="33"/>
      <c r="D24" s="33"/>
    </row>
    <row r="25" spans="2:8" ht="13.5" customHeight="1" x14ac:dyDescent="0.2">
      <c r="B25" s="7" t="s">
        <v>2</v>
      </c>
      <c r="C25" s="34" t="s">
        <v>3</v>
      </c>
      <c r="D25" s="34" t="s">
        <v>4</v>
      </c>
      <c r="E25" s="1" t="s">
        <v>5</v>
      </c>
      <c r="F25" s="36"/>
      <c r="G25" s="36"/>
      <c r="H25" s="35"/>
    </row>
    <row r="26" spans="2:8" ht="13.5" customHeight="1" x14ac:dyDescent="0.2">
      <c r="B26" s="12" t="s">
        <v>24</v>
      </c>
      <c r="C26" s="13"/>
      <c r="D26" s="13"/>
      <c r="E26" s="13"/>
      <c r="F26" s="37"/>
      <c r="G26" s="37"/>
      <c r="H26" s="38"/>
    </row>
    <row r="27" spans="2:8" ht="15" customHeight="1" x14ac:dyDescent="0.2">
      <c r="F27" s="47" t="s">
        <v>37</v>
      </c>
      <c r="G27" s="48" t="s">
        <v>38</v>
      </c>
      <c r="H27" s="48" t="s">
        <v>36</v>
      </c>
    </row>
    <row r="28" spans="2:8" ht="15" x14ac:dyDescent="0.2">
      <c r="F28" s="49">
        <v>46335.57</v>
      </c>
      <c r="G28" s="50">
        <v>28000</v>
      </c>
      <c r="H28" s="49">
        <v>19061.96</v>
      </c>
    </row>
  </sheetData>
  <mergeCells count="6">
    <mergeCell ref="B24:D24"/>
    <mergeCell ref="B26:E26"/>
    <mergeCell ref="B2:H2"/>
    <mergeCell ref="B3:D3"/>
    <mergeCell ref="E3:H3"/>
    <mergeCell ref="C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Estado de cuenta</dc:title>
  <cp:lastModifiedBy>CONSORCIO</cp:lastModifiedBy>
  <dcterms:created xsi:type="dcterms:W3CDTF">2026-03-25T15:41:12Z</dcterms:created>
  <dcterms:modified xsi:type="dcterms:W3CDTF">2026-03-25T16:30:05Z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2026-03-25T00:00:00Z</vt:filetime>
  </property>
  <property fmtid="{D5CDD505-2E9C-101B-9397-08002B2CF9AE}" pid="3" name="LastSaved">
    <vt:filetime>2026-03-25T00:00:00Z</vt:filetime>
  </property>
  <property fmtid="{D5CDD505-2E9C-101B-9397-08002B2CF9AE}" pid="4" name="Producer">
    <vt:lpwstr>dompdf 3.1.4 + CPDF</vt:lpwstr>
  </property>
</Properties>
</file>